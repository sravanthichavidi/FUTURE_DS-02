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ac05fc7290a00/Documents/"/>
    </mc:Choice>
  </mc:AlternateContent>
  <xr:revisionPtr revIDLastSave="1" documentId="8_{548A7A38-4347-436A-A458-F468D3AD702D}" xr6:coauthVersionLast="47" xr6:coauthVersionMax="47" xr10:uidLastSave="{DE320160-D640-4B66-B30E-A73AA8DF96D3}"/>
  <bookViews>
    <workbookView xWindow="-108" yWindow="-108" windowWidth="23256" windowHeight="12456" activeTab="1" xr2:uid="{6226E383-34CD-4572-9223-6DC4FE4675CC}"/>
  </bookViews>
  <sheets>
    <sheet name="Sheet3" sheetId="3" r:id="rId1"/>
    <sheet name="Sheet4" sheetId="4" r:id="rId2"/>
    <sheet name="Sheet5" sheetId="5" r:id="rId3"/>
    <sheet name="Sheet6" sheetId="6" r:id="rId4"/>
    <sheet name="Sheet1" sheetId="1" r:id="rId5"/>
    <sheet name="Sheet2" sheetId="2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<sst xmlns="http://schemas.openxmlformats.org/spreadsheetml/2006/main" count="141" uniqueCount="69">
  <si>
    <t>Customer_ID</t>
  </si>
  <si>
    <t>Join_Date</t>
  </si>
  <si>
    <t>Last_Active_Date</t>
  </si>
  <si>
    <t>Plan</t>
  </si>
  <si>
    <t>Monthly_Fee</t>
  </si>
  <si>
    <t>Status</t>
  </si>
  <si>
    <t>Churn_Reason</t>
  </si>
  <si>
    <t>CUST001</t>
  </si>
  <si>
    <t>Basic</t>
  </si>
  <si>
    <t>Active</t>
  </si>
  <si>
    <t>CUST002</t>
  </si>
  <si>
    <t>Standard</t>
  </si>
  <si>
    <t>Churned</t>
  </si>
  <si>
    <t>High price</t>
  </si>
  <si>
    <t>CUST003</t>
  </si>
  <si>
    <t>Premium</t>
  </si>
  <si>
    <t>CUST004</t>
  </si>
  <si>
    <t>Poor customer support</t>
  </si>
  <si>
    <t>CUST005</t>
  </si>
  <si>
    <t>CUST006</t>
  </si>
  <si>
    <t>Switched to competitor</t>
  </si>
  <si>
    <t>CUST007</t>
  </si>
  <si>
    <t>CUST008</t>
  </si>
  <si>
    <t>Lack of features</t>
  </si>
  <si>
    <t>CUST009</t>
  </si>
  <si>
    <t>CUST010</t>
  </si>
  <si>
    <t>No longer needed</t>
  </si>
  <si>
    <t>CUST011</t>
  </si>
  <si>
    <t>CUST012</t>
  </si>
  <si>
    <t>Technical issues</t>
  </si>
  <si>
    <t>CUST013</t>
  </si>
  <si>
    <t>CUST014</t>
  </si>
  <si>
    <t>CUST015</t>
  </si>
  <si>
    <t>CUST016</t>
  </si>
  <si>
    <t>Low usage</t>
  </si>
  <si>
    <t>CUST017</t>
  </si>
  <si>
    <t>CUST018</t>
  </si>
  <si>
    <t>Billing issues</t>
  </si>
  <si>
    <t>CUST019</t>
  </si>
  <si>
    <t>CUST020</t>
  </si>
  <si>
    <t>CUST021</t>
  </si>
  <si>
    <t>CUST022</t>
  </si>
  <si>
    <t>CUST023</t>
  </si>
  <si>
    <t>CUST024</t>
  </si>
  <si>
    <t>CUST025</t>
  </si>
  <si>
    <t>Tenure_Months</t>
  </si>
  <si>
    <t>Churn_Flag</t>
  </si>
  <si>
    <t>Churn_rate</t>
  </si>
  <si>
    <t>Total Churned Customers</t>
  </si>
  <si>
    <t>The overall churn rate is high,showing customer retention needs improvement</t>
  </si>
  <si>
    <t>Row Labels</t>
  </si>
  <si>
    <t>Grand Total</t>
  </si>
  <si>
    <t>Sum of Tenure_Months</t>
  </si>
  <si>
    <t>Premium plan customers have higher retention than basic plan customers.</t>
  </si>
  <si>
    <t>Join_Month</t>
  </si>
  <si>
    <t>Feb-2023</t>
  </si>
  <si>
    <t>Jan-2023</t>
  </si>
  <si>
    <t>(blank)</t>
  </si>
  <si>
    <t>Count of Customer_ID</t>
  </si>
  <si>
    <t>(All)</t>
  </si>
  <si>
    <t>Customers who joined in early months showed higher churn.</t>
  </si>
  <si>
    <t>Customer with longer tenure generate higher lifetime value.</t>
  </si>
  <si>
    <t>High price is the most common churn reason.</t>
  </si>
  <si>
    <t>Sum of Total Churned Customers</t>
  </si>
  <si>
    <t xml:space="preserve">                         FINAL INSIGHTS</t>
  </si>
  <si>
    <t>HIGH CHURN IN BASIC PLAN.</t>
  </si>
  <si>
    <t>PERMIUM CUSTOMERS RETAIN LONGER.</t>
  </si>
  <si>
    <t>PRICE IS MAIN CHURN REASON.</t>
  </si>
  <si>
    <t>RECOMMEND DISCOUNTS AND BETTER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</si>
</sst>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00000"/>
      <name val="Arial Black"/>
      <family val="2"/>
    </font>
    <font>
      <sz val="11"/>
      <color theme="1"/>
      <name val="Bahnschrift Semi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[CUSTOMER_CHURN.xlsx]Sheet3!PivotTable1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153</c:v>
                </c:pt>
                <c:pt idx="1">
                  <c:v>148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1-42C0-8029-D177D7B5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985807"/>
        <c:axId val="1279988207"/>
      </c:barChart>
      <c:catAx>
        <c:axId val="127998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88207"/>
        <c:crosses val="autoZero"/>
        <c:auto val="1"/>
        <c:lblAlgn val="ctr"/>
        <c:lblOffset val="100"/>
        <c:noMultiLvlLbl val="0"/>
      </c:catAx>
      <c:valAx>
        <c:axId val="12799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8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[CUSTOMER_CHURN.xlsx]Sheet4!PivotTable2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Feb-2023</c:v>
                </c:pt>
                <c:pt idx="1">
                  <c:v>Jan-2023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7-4287-86E8-4A2C96E2E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[CUSTOMER_CHURN.xlsx]Sheet5!PivotTable3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56</c:v>
                </c:pt>
                <c:pt idx="1">
                  <c:v>48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86E-B3C1-6007DB556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4356319"/>
        <c:axId val="1484357759"/>
        <c:axId val="0"/>
      </c:bar3DChart>
      <c:catAx>
        <c:axId val="14843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57759"/>
        <c:crosses val="autoZero"/>
        <c:auto val="1"/>
        <c:lblAlgn val="ctr"/>
        <c:lblOffset val="100"/>
        <c:noMultiLvlLbl val="0"/>
      </c:catAx>
      <c:valAx>
        <c:axId val="14843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[CUSTOMER_CHURN.xlsx]Sheet6!PivotTable4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Sheet6!$A$4:$A$13</c:f>
              <c:strCache>
                <c:ptCount val="9"/>
                <c:pt idx="0">
                  <c:v>Billing issues</c:v>
                </c:pt>
                <c:pt idx="1">
                  <c:v>High price</c:v>
                </c:pt>
                <c:pt idx="2">
                  <c:v>Lack of features</c:v>
                </c:pt>
                <c:pt idx="3">
                  <c:v>Low usage</c:v>
                </c:pt>
                <c:pt idx="4">
                  <c:v>No longer needed</c:v>
                </c:pt>
                <c:pt idx="5">
                  <c:v>Poor customer support</c:v>
                </c:pt>
                <c:pt idx="6">
                  <c:v>Switched to competitor</c:v>
                </c:pt>
                <c:pt idx="7">
                  <c:v>Technical issues</c:v>
                </c:pt>
                <c:pt idx="8">
                  <c:v>(blank)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3-4881-B361-D3E44A6F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993119"/>
        <c:axId val="1674995999"/>
      </c:lineChart>
      <c:catAx>
        <c:axId val="16749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95999"/>
        <c:crosses val="autoZero"/>
        <c:auto val="1"/>
        <c:lblAlgn val="ctr"/>
        <c:lblOffset val="100"/>
        <c:noMultiLvlLbl val="0"/>
      </c:catAx>
      <c:valAx>
        <c:axId val="167499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8</xdr:row>
      <xdr:rowOff>148590</xdr:rowOff>
    </xdr:from>
    <xdr:to>
      <xdr:col>10</xdr:col>
      <xdr:colOff>518160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B4478-5940-0104-BC17-D8B45D4C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8</xdr:row>
      <xdr:rowOff>148590</xdr:rowOff>
    </xdr:from>
    <xdr:to>
      <xdr:col>10</xdr:col>
      <xdr:colOff>601980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C260A-45F4-E20A-66A4-CCFFBDB9C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8</xdr:row>
      <xdr:rowOff>148590</xdr:rowOff>
    </xdr:from>
    <xdr:to>
      <xdr:col>9</xdr:col>
      <xdr:colOff>579120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4D909-2443-137A-4296-26E0A4497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8</xdr:row>
      <xdr:rowOff>148590</xdr:rowOff>
    </xdr:from>
    <xdr:to>
      <xdr:col>10</xdr:col>
      <xdr:colOff>68580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00F59-A54C-649F-7A0D-EC6ABFA6B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" refreshedDate="46039.76796203704" createdVersion="8" refreshedVersion="8" minRefreshableVersion="3" recordCount="25" xr:uid="{7F131F58-07FE-44C7-BA90-568D84563F57}">
  <cacheSource type="worksheet">
    <worksheetSource ref="A1:K26" sheet="Sheet1"/>
  </cacheSource>
  <cacheFields count="11">
    <cacheField name="Customer_ID" numFmtId="0">
      <sharedItems/>
    </cacheField>
    <cacheField name="Join_Date" numFmtId="14">
      <sharedItems containsSemiMixedTypes="0" containsNonDate="0" containsDate="1" containsString="0" minDate="2023-01-15T00:00:00" maxDate="2023-02-09T00:00:00"/>
    </cacheField>
    <cacheField name="Last_Active_Date" numFmtId="14">
      <sharedItems containsSemiMixedTypes="0" containsNonDate="0" containsDate="1" containsString="0" minDate="2023-08-30T00:00:00" maxDate="2025-01-16T00:00:00"/>
    </cacheField>
    <cacheField name="Plan" numFmtId="0">
      <sharedItems count="3">
        <s v="Basic"/>
        <s v="Standard"/>
        <s v="Premium"/>
      </sharedItems>
    </cacheField>
    <cacheField name="Monthly_Fee" numFmtId="0">
      <sharedItems containsSemiMixedTypes="0" containsString="0" containsNumber="1" minValue="9.99" maxValue="24.99"/>
    </cacheField>
    <cacheField name="Status" numFmtId="0">
      <sharedItems/>
    </cacheField>
    <cacheField name="Churn_Reason" numFmtId="0">
      <sharedItems containsBlank="1"/>
    </cacheField>
    <cacheField name="Tenure_Months" numFmtId="0">
      <sharedItems containsString="0" containsBlank="1" containsNumber="1" containsInteger="1" minValue="6" maxValue="23"/>
    </cacheField>
    <cacheField name="Churn_Flag" numFmtId="0">
      <sharedItems containsString="0" containsBlank="1" containsNumber="1" containsInteger="1" minValue="0" maxValue="1"/>
    </cacheField>
    <cacheField name="Churn_rate" numFmtId="0">
      <sharedItems containsString="0" containsBlank="1" containsNumber="1" containsInteger="1" minValue="2" maxValue="25"/>
    </cacheField>
    <cacheField name="Total Churned Customers" numFmtId="0">
      <sharedItems containsString="0" containsBlank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" refreshedDate="46039.771741087963" createdVersion="8" refreshedVersion="8" minRefreshableVersion="3" recordCount="25" xr:uid="{5262A337-E052-4235-8408-2337B1C31515}">
  <cacheSource type="worksheet">
    <worksheetSource ref="A1:L26" sheet="Sheet1"/>
  </cacheSource>
  <cacheFields count="12">
    <cacheField name="Customer_ID" numFmtId="0">
      <sharedItems/>
    </cacheField>
    <cacheField name="Join_Date" numFmtId="14">
      <sharedItems containsSemiMixedTypes="0" containsNonDate="0" containsDate="1" containsString="0" minDate="2023-01-15T00:00:00" maxDate="2023-02-09T00:00:00"/>
    </cacheField>
    <cacheField name="Last_Active_Date" numFmtId="14">
      <sharedItems containsSemiMixedTypes="0" containsNonDate="0" containsDate="1" containsString="0" minDate="2023-08-30T00:00:00" maxDate="2025-01-16T00:00:00"/>
    </cacheField>
    <cacheField name="Plan" numFmtId="0">
      <sharedItems count="3">
        <s v="Basic"/>
        <s v="Standard"/>
        <s v="Premium"/>
      </sharedItems>
    </cacheField>
    <cacheField name="Monthly_Fee" numFmtId="0">
      <sharedItems containsSemiMixedTypes="0" containsString="0" containsNumber="1" minValue="9.99" maxValue="24.99"/>
    </cacheField>
    <cacheField name="Status" numFmtId="0">
      <sharedItems count="2">
        <s v="Active"/>
        <s v="Churned"/>
      </sharedItems>
    </cacheField>
    <cacheField name="Churn_Reason" numFmtId="0">
      <sharedItems containsBlank="1" count="9">
        <m/>
        <s v="High price"/>
        <s v="Poor customer support"/>
        <s v="Switched to competitor"/>
        <s v="Lack of features"/>
        <s v="No longer needed"/>
        <s v="Technical issues"/>
        <s v="Low usage"/>
        <s v="Billing issues"/>
      </sharedItems>
    </cacheField>
    <cacheField name="Tenure_Months" numFmtId="0">
      <sharedItems containsString="0" containsBlank="1" containsNumber="1" containsInteger="1" minValue="6" maxValue="23"/>
    </cacheField>
    <cacheField name="Churn_Flag" numFmtId="0">
      <sharedItems containsString="0" containsBlank="1" containsNumber="1" containsInteger="1" minValue="0" maxValue="1"/>
    </cacheField>
    <cacheField name="Churn_rate" numFmtId="0">
      <sharedItems containsString="0" containsBlank="1" containsNumber="1" containsInteger="1" minValue="2" maxValue="25"/>
    </cacheField>
    <cacheField name="Total Churned Customers" numFmtId="0">
      <sharedItems containsString="0" containsBlank="1" containsNumber="1" containsInteger="1" minValue="1" maxValue="12"/>
    </cacheField>
    <cacheField name="Join_Month" numFmtId="0">
      <sharedItems containsBlank="1" count="3">
        <s v="Jan-2023"/>
        <s v="Feb-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CUST001"/>
    <d v="2023-01-15T00:00:00"/>
    <d v="2025-01-02T00:00:00"/>
    <x v="0"/>
    <n v="9.99"/>
    <s v="Active"/>
    <m/>
    <n v="23"/>
    <n v="0"/>
    <n v="25"/>
    <n v="12"/>
  </r>
  <r>
    <s v="CUST002"/>
    <d v="2023-01-16T00:00:00"/>
    <d v="2024-08-15T00:00:00"/>
    <x v="1"/>
    <n v="14.99"/>
    <s v="Churned"/>
    <s v="High price"/>
    <n v="18"/>
    <n v="1"/>
    <n v="24"/>
    <n v="12"/>
  </r>
  <r>
    <s v="CUST003"/>
    <d v="2023-01-17T00:00:00"/>
    <d v="2025-01-10T00:00:00"/>
    <x v="2"/>
    <n v="24.99"/>
    <s v="Active"/>
    <m/>
    <n v="23"/>
    <n v="0"/>
    <n v="23"/>
    <n v="11"/>
  </r>
  <r>
    <s v="CUST004"/>
    <d v="2023-01-18T00:00:00"/>
    <d v="2023-12-05T00:00:00"/>
    <x v="0"/>
    <n v="9.99"/>
    <s v="Churned"/>
    <s v="Poor customer support"/>
    <n v="10"/>
    <n v="1"/>
    <n v="22"/>
    <n v="11"/>
  </r>
  <r>
    <s v="CUST005"/>
    <d v="2023-01-19T00:00:00"/>
    <d v="2025-01-12T00:00:00"/>
    <x v="1"/>
    <n v="14.99"/>
    <s v="Active"/>
    <m/>
    <n v="23"/>
    <n v="0"/>
    <n v="21"/>
    <n v="10"/>
  </r>
  <r>
    <s v="CUST006"/>
    <d v="2023-01-20T00:00:00"/>
    <d v="2024-06-20T00:00:00"/>
    <x v="2"/>
    <n v="24.99"/>
    <s v="Churned"/>
    <s v="Switched to competitor"/>
    <n v="17"/>
    <n v="1"/>
    <n v="20"/>
    <n v="10"/>
  </r>
  <r>
    <s v="CUST007"/>
    <d v="2023-01-21T00:00:00"/>
    <d v="2025-01-08T00:00:00"/>
    <x v="0"/>
    <n v="9.99"/>
    <s v="Active"/>
    <m/>
    <n v="23"/>
    <n v="0"/>
    <n v="19"/>
    <n v="9"/>
  </r>
  <r>
    <s v="CUST008"/>
    <d v="2023-01-22T00:00:00"/>
    <d v="2024-01-18T00:00:00"/>
    <x v="1"/>
    <n v="14.99"/>
    <s v="Churned"/>
    <s v="Lack of features"/>
    <n v="11"/>
    <n v="1"/>
    <n v="18"/>
    <n v="9"/>
  </r>
  <r>
    <s v="CUST009"/>
    <d v="2023-01-23T00:00:00"/>
    <d v="2025-01-05T00:00:00"/>
    <x v="2"/>
    <n v="24.99"/>
    <s v="Active"/>
    <m/>
    <n v="23"/>
    <n v="0"/>
    <n v="17"/>
    <n v="8"/>
  </r>
  <r>
    <s v="CUST010"/>
    <d v="2023-01-24T00:00:00"/>
    <d v="2024-09-01T00:00:00"/>
    <x v="0"/>
    <n v="9.99"/>
    <s v="Churned"/>
    <s v="No longer needed"/>
    <n v="19"/>
    <n v="1"/>
    <n v="16"/>
    <n v="8"/>
  </r>
  <r>
    <s v="CUST011"/>
    <d v="2023-01-25T00:00:00"/>
    <d v="2025-01-11T00:00:00"/>
    <x v="1"/>
    <n v="14.99"/>
    <s v="Active"/>
    <m/>
    <n v="23"/>
    <n v="0"/>
    <n v="15"/>
    <n v="7"/>
  </r>
  <r>
    <s v="CUST012"/>
    <d v="2023-01-26T00:00:00"/>
    <d v="2023-11-22T00:00:00"/>
    <x v="2"/>
    <n v="24.99"/>
    <s v="Churned"/>
    <s v="Technical issues"/>
    <n v="9"/>
    <n v="1"/>
    <n v="14"/>
    <n v="7"/>
  </r>
  <r>
    <s v="CUST013"/>
    <d v="2023-01-27T00:00:00"/>
    <d v="2025-01-09T00:00:00"/>
    <x v="0"/>
    <n v="9.99"/>
    <s v="Active"/>
    <m/>
    <n v="23"/>
    <n v="0"/>
    <n v="13"/>
    <n v="6"/>
  </r>
  <r>
    <s v="CUST014"/>
    <d v="2023-01-28T00:00:00"/>
    <d v="2024-03-10T00:00:00"/>
    <x v="1"/>
    <n v="14.99"/>
    <s v="Churned"/>
    <s v="High price"/>
    <n v="13"/>
    <n v="1"/>
    <n v="12"/>
    <n v="6"/>
  </r>
  <r>
    <s v="CUST015"/>
    <d v="2023-01-29T00:00:00"/>
    <d v="2025-01-14T00:00:00"/>
    <x v="2"/>
    <n v="24.99"/>
    <s v="Active"/>
    <m/>
    <n v="23"/>
    <n v="0"/>
    <n v="11"/>
    <n v="5"/>
  </r>
  <r>
    <s v="CUST016"/>
    <d v="2023-01-30T00:00:00"/>
    <d v="2024-07-19T00:00:00"/>
    <x v="0"/>
    <n v="9.99"/>
    <s v="Churned"/>
    <s v="Low usage"/>
    <n v="17"/>
    <n v="1"/>
    <n v="10"/>
    <n v="5"/>
  </r>
  <r>
    <s v="CUST017"/>
    <d v="2023-01-31T00:00:00"/>
    <d v="2025-01-06T00:00:00"/>
    <x v="1"/>
    <n v="14.99"/>
    <s v="Active"/>
    <m/>
    <n v="23"/>
    <n v="0"/>
    <n v="9"/>
    <n v="4"/>
  </r>
  <r>
    <s v="CUST018"/>
    <d v="2023-02-01T00:00:00"/>
    <d v="2024-10-05T00:00:00"/>
    <x v="2"/>
    <n v="24.99"/>
    <s v="Churned"/>
    <s v="Billing issues"/>
    <n v="20"/>
    <n v="1"/>
    <n v="8"/>
    <n v="4"/>
  </r>
  <r>
    <s v="CUST019"/>
    <d v="2023-02-02T00:00:00"/>
    <d v="2025-01-13T00:00:00"/>
    <x v="0"/>
    <n v="9.99"/>
    <s v="Active"/>
    <m/>
    <n v="23"/>
    <n v="0"/>
    <n v="7"/>
    <n v="3"/>
  </r>
  <r>
    <s v="CUST020"/>
    <d v="2023-02-03T00:00:00"/>
    <d v="2023-08-30T00:00:00"/>
    <x v="1"/>
    <n v="14.99"/>
    <s v="Churned"/>
    <s v="Poor customer support"/>
    <n v="6"/>
    <n v="1"/>
    <n v="6"/>
    <n v="3"/>
  </r>
  <r>
    <s v="CUST021"/>
    <d v="2023-02-04T00:00:00"/>
    <d v="2025-01-04T00:00:00"/>
    <x v="2"/>
    <n v="24.99"/>
    <s v="Active"/>
    <m/>
    <n v="23"/>
    <n v="0"/>
    <n v="5"/>
    <n v="2"/>
  </r>
  <r>
    <s v="CUST022"/>
    <d v="2023-02-05T00:00:00"/>
    <d v="2024-05-12T00:00:00"/>
    <x v="0"/>
    <n v="9.99"/>
    <s v="Churned"/>
    <s v="Switched to competitor"/>
    <n v="15"/>
    <n v="1"/>
    <n v="4"/>
    <n v="2"/>
  </r>
  <r>
    <s v="CUST023"/>
    <d v="2023-02-06T00:00:00"/>
    <d v="2025-01-15T00:00:00"/>
    <x v="1"/>
    <n v="14.99"/>
    <s v="Active"/>
    <m/>
    <n v="23"/>
    <n v="0"/>
    <n v="3"/>
    <n v="1"/>
  </r>
  <r>
    <s v="CUST024"/>
    <d v="2023-02-07T00:00:00"/>
    <d v="2023-12-18T00:00:00"/>
    <x v="2"/>
    <n v="24.99"/>
    <s v="Churned"/>
    <s v="Lack of features"/>
    <n v="10"/>
    <n v="1"/>
    <n v="2"/>
    <n v="1"/>
  </r>
  <r>
    <s v="CUST025"/>
    <d v="2023-02-08T00:00:00"/>
    <d v="2025-01-07T00:00:00"/>
    <x v="0"/>
    <n v="9.99"/>
    <s v="Active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CUST001"/>
    <d v="2023-01-15T00:00:00"/>
    <d v="2025-01-02T00:00:00"/>
    <x v="0"/>
    <n v="9.99"/>
    <x v="0"/>
    <x v="0"/>
    <n v="23"/>
    <n v="0"/>
    <n v="25"/>
    <n v="12"/>
    <x v="0"/>
  </r>
  <r>
    <s v="CUST002"/>
    <d v="2023-01-16T00:00:00"/>
    <d v="2024-08-15T00:00:00"/>
    <x v="1"/>
    <n v="14.99"/>
    <x v="1"/>
    <x v="1"/>
    <n v="18"/>
    <n v="1"/>
    <n v="24"/>
    <n v="12"/>
    <x v="0"/>
  </r>
  <r>
    <s v="CUST003"/>
    <d v="2023-01-17T00:00:00"/>
    <d v="2025-01-10T00:00:00"/>
    <x v="2"/>
    <n v="24.99"/>
    <x v="0"/>
    <x v="0"/>
    <n v="23"/>
    <n v="0"/>
    <n v="23"/>
    <n v="11"/>
    <x v="0"/>
  </r>
  <r>
    <s v="CUST004"/>
    <d v="2023-01-18T00:00:00"/>
    <d v="2023-12-05T00:00:00"/>
    <x v="0"/>
    <n v="9.99"/>
    <x v="1"/>
    <x v="2"/>
    <n v="10"/>
    <n v="1"/>
    <n v="22"/>
    <n v="11"/>
    <x v="0"/>
  </r>
  <r>
    <s v="CUST005"/>
    <d v="2023-01-19T00:00:00"/>
    <d v="2025-01-12T00:00:00"/>
    <x v="1"/>
    <n v="14.99"/>
    <x v="0"/>
    <x v="0"/>
    <n v="23"/>
    <n v="0"/>
    <n v="21"/>
    <n v="10"/>
    <x v="0"/>
  </r>
  <r>
    <s v="CUST006"/>
    <d v="2023-01-20T00:00:00"/>
    <d v="2024-06-20T00:00:00"/>
    <x v="2"/>
    <n v="24.99"/>
    <x v="1"/>
    <x v="3"/>
    <n v="17"/>
    <n v="1"/>
    <n v="20"/>
    <n v="10"/>
    <x v="0"/>
  </r>
  <r>
    <s v="CUST007"/>
    <d v="2023-01-21T00:00:00"/>
    <d v="2025-01-08T00:00:00"/>
    <x v="0"/>
    <n v="9.99"/>
    <x v="0"/>
    <x v="0"/>
    <n v="23"/>
    <n v="0"/>
    <n v="19"/>
    <n v="9"/>
    <x v="0"/>
  </r>
  <r>
    <s v="CUST008"/>
    <d v="2023-01-22T00:00:00"/>
    <d v="2024-01-18T00:00:00"/>
    <x v="1"/>
    <n v="14.99"/>
    <x v="1"/>
    <x v="4"/>
    <n v="11"/>
    <n v="1"/>
    <n v="18"/>
    <n v="9"/>
    <x v="0"/>
  </r>
  <r>
    <s v="CUST009"/>
    <d v="2023-01-23T00:00:00"/>
    <d v="2025-01-05T00:00:00"/>
    <x v="2"/>
    <n v="24.99"/>
    <x v="0"/>
    <x v="0"/>
    <n v="23"/>
    <n v="0"/>
    <n v="17"/>
    <n v="8"/>
    <x v="0"/>
  </r>
  <r>
    <s v="CUST010"/>
    <d v="2023-01-24T00:00:00"/>
    <d v="2024-09-01T00:00:00"/>
    <x v="0"/>
    <n v="9.99"/>
    <x v="1"/>
    <x v="5"/>
    <n v="19"/>
    <n v="1"/>
    <n v="16"/>
    <n v="8"/>
    <x v="0"/>
  </r>
  <r>
    <s v="CUST011"/>
    <d v="2023-01-25T00:00:00"/>
    <d v="2025-01-11T00:00:00"/>
    <x v="1"/>
    <n v="14.99"/>
    <x v="0"/>
    <x v="0"/>
    <n v="23"/>
    <n v="0"/>
    <n v="15"/>
    <n v="7"/>
    <x v="0"/>
  </r>
  <r>
    <s v="CUST012"/>
    <d v="2023-01-26T00:00:00"/>
    <d v="2023-11-22T00:00:00"/>
    <x v="2"/>
    <n v="24.99"/>
    <x v="1"/>
    <x v="6"/>
    <n v="9"/>
    <n v="1"/>
    <n v="14"/>
    <n v="7"/>
    <x v="0"/>
  </r>
  <r>
    <s v="CUST013"/>
    <d v="2023-01-27T00:00:00"/>
    <d v="2025-01-09T00:00:00"/>
    <x v="0"/>
    <n v="9.99"/>
    <x v="0"/>
    <x v="0"/>
    <n v="23"/>
    <n v="0"/>
    <n v="13"/>
    <n v="6"/>
    <x v="0"/>
  </r>
  <r>
    <s v="CUST014"/>
    <d v="2023-01-28T00:00:00"/>
    <d v="2024-03-10T00:00:00"/>
    <x v="1"/>
    <n v="14.99"/>
    <x v="1"/>
    <x v="1"/>
    <n v="13"/>
    <n v="1"/>
    <n v="12"/>
    <n v="6"/>
    <x v="0"/>
  </r>
  <r>
    <s v="CUST015"/>
    <d v="2023-01-29T00:00:00"/>
    <d v="2025-01-14T00:00:00"/>
    <x v="2"/>
    <n v="24.99"/>
    <x v="0"/>
    <x v="0"/>
    <n v="23"/>
    <n v="0"/>
    <n v="11"/>
    <n v="5"/>
    <x v="0"/>
  </r>
  <r>
    <s v="CUST016"/>
    <d v="2023-01-30T00:00:00"/>
    <d v="2024-07-19T00:00:00"/>
    <x v="0"/>
    <n v="9.99"/>
    <x v="1"/>
    <x v="7"/>
    <n v="17"/>
    <n v="1"/>
    <n v="10"/>
    <n v="5"/>
    <x v="0"/>
  </r>
  <r>
    <s v="CUST017"/>
    <d v="2023-01-31T00:00:00"/>
    <d v="2025-01-06T00:00:00"/>
    <x v="1"/>
    <n v="14.99"/>
    <x v="0"/>
    <x v="0"/>
    <n v="23"/>
    <n v="0"/>
    <n v="9"/>
    <n v="4"/>
    <x v="0"/>
  </r>
  <r>
    <s v="CUST018"/>
    <d v="2023-02-01T00:00:00"/>
    <d v="2024-10-05T00:00:00"/>
    <x v="2"/>
    <n v="24.99"/>
    <x v="1"/>
    <x v="8"/>
    <n v="20"/>
    <n v="1"/>
    <n v="8"/>
    <n v="4"/>
    <x v="1"/>
  </r>
  <r>
    <s v="CUST019"/>
    <d v="2023-02-02T00:00:00"/>
    <d v="2025-01-13T00:00:00"/>
    <x v="0"/>
    <n v="9.99"/>
    <x v="0"/>
    <x v="0"/>
    <n v="23"/>
    <n v="0"/>
    <n v="7"/>
    <n v="3"/>
    <x v="1"/>
  </r>
  <r>
    <s v="CUST020"/>
    <d v="2023-02-03T00:00:00"/>
    <d v="2023-08-30T00:00:00"/>
    <x v="1"/>
    <n v="14.99"/>
    <x v="1"/>
    <x v="2"/>
    <n v="6"/>
    <n v="1"/>
    <n v="6"/>
    <n v="3"/>
    <x v="1"/>
  </r>
  <r>
    <s v="CUST021"/>
    <d v="2023-02-04T00:00:00"/>
    <d v="2025-01-04T00:00:00"/>
    <x v="2"/>
    <n v="24.99"/>
    <x v="0"/>
    <x v="0"/>
    <n v="23"/>
    <n v="0"/>
    <n v="5"/>
    <n v="2"/>
    <x v="1"/>
  </r>
  <r>
    <s v="CUST022"/>
    <d v="2023-02-05T00:00:00"/>
    <d v="2024-05-12T00:00:00"/>
    <x v="0"/>
    <n v="9.99"/>
    <x v="1"/>
    <x v="3"/>
    <n v="15"/>
    <n v="1"/>
    <n v="4"/>
    <n v="2"/>
    <x v="1"/>
  </r>
  <r>
    <s v="CUST023"/>
    <d v="2023-02-06T00:00:00"/>
    <d v="2025-01-15T00:00:00"/>
    <x v="1"/>
    <n v="14.99"/>
    <x v="0"/>
    <x v="0"/>
    <n v="23"/>
    <n v="0"/>
    <n v="3"/>
    <n v="1"/>
    <x v="1"/>
  </r>
  <r>
    <s v="CUST024"/>
    <d v="2023-02-07T00:00:00"/>
    <d v="2023-12-18T00:00:00"/>
    <x v="2"/>
    <n v="24.99"/>
    <x v="1"/>
    <x v="4"/>
    <n v="10"/>
    <n v="1"/>
    <n v="2"/>
    <n v="1"/>
    <x v="1"/>
  </r>
  <r>
    <s v="CUST025"/>
    <d v="2023-02-08T00:00:00"/>
    <d v="2025-01-07T00:00:00"/>
    <x v="0"/>
    <n v="9.99"/>
    <x v="0"/>
    <x v="0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6B9B5-79D4-421A-82B7-AF6B611AE8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showAll="0"/>
    <pivotField numFmtId="14"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enure_Month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A5A0E-EECD-47AB-ACB3-2341E3D685D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 rowPageCount="1" colPageCount="1"/>
  <pivotFields count="12">
    <pivotField dataField="1" showAll="0"/>
    <pivotField numFmtId="14" showAll="0"/>
    <pivotField numFmtId="14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Count of Custom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FFD7F-A242-4A8F-BF2C-62D5F21A40E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numFmtId="14"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hurned Customers" fld="1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A7549-E3B4-4B4B-AD5C-4C985630D79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12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10">
        <item x="8"/>
        <item x="1"/>
        <item x="4"/>
        <item x="7"/>
        <item x="5"/>
        <item x="2"/>
        <item x="3"/>
        <item x="6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8F33-8639-4960-96BE-69B9DBF02287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109375" bestFit="1" customWidth="1"/>
  </cols>
  <sheetData>
    <row r="3" spans="1:2" x14ac:dyDescent="0.3">
      <c r="A3" s="2" t="s">
        <v>50</v>
      </c>
      <c r="B3" t="s">
        <v>52</v>
      </c>
    </row>
    <row r="4" spans="1:2" x14ac:dyDescent="0.3">
      <c r="A4" s="3" t="s">
        <v>8</v>
      </c>
      <c r="B4">
        <v>153</v>
      </c>
    </row>
    <row r="5" spans="1:2" x14ac:dyDescent="0.3">
      <c r="A5" s="3" t="s">
        <v>15</v>
      </c>
      <c r="B5">
        <v>148</v>
      </c>
    </row>
    <row r="6" spans="1:2" x14ac:dyDescent="0.3">
      <c r="A6" s="3" t="s">
        <v>11</v>
      </c>
      <c r="B6">
        <v>140</v>
      </c>
    </row>
    <row r="7" spans="1:2" x14ac:dyDescent="0.3">
      <c r="A7" s="3" t="s">
        <v>51</v>
      </c>
      <c r="B7">
        <v>441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002A-BF7F-4947-844B-E2F8F7599100}">
  <dimension ref="A1:B7"/>
  <sheetViews>
    <sheetView tabSelected="1"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1" spans="1:2" x14ac:dyDescent="0.3">
      <c r="A1" s="2" t="s">
        <v>5</v>
      </c>
      <c r="B1" t="s">
        <v>59</v>
      </c>
    </row>
    <row r="3" spans="1:2" x14ac:dyDescent="0.3">
      <c r="A3" s="2" t="s">
        <v>50</v>
      </c>
      <c r="B3" t="s">
        <v>58</v>
      </c>
    </row>
    <row r="4" spans="1:2" x14ac:dyDescent="0.3">
      <c r="A4" s="3" t="s">
        <v>55</v>
      </c>
      <c r="B4">
        <v>7</v>
      </c>
    </row>
    <row r="5" spans="1:2" x14ac:dyDescent="0.3">
      <c r="A5" s="3" t="s">
        <v>56</v>
      </c>
      <c r="B5">
        <v>17</v>
      </c>
    </row>
    <row r="6" spans="1:2" x14ac:dyDescent="0.3">
      <c r="A6" s="3" t="s">
        <v>57</v>
      </c>
      <c r="B6">
        <v>1</v>
      </c>
    </row>
    <row r="7" spans="1:2" x14ac:dyDescent="0.3">
      <c r="A7" s="3" t="s">
        <v>51</v>
      </c>
      <c r="B7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370E-E14D-4557-A639-265B586E0BE8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9.109375" bestFit="1" customWidth="1"/>
  </cols>
  <sheetData>
    <row r="3" spans="1:2" x14ac:dyDescent="0.3">
      <c r="A3" s="2" t="s">
        <v>50</v>
      </c>
      <c r="B3" t="s">
        <v>63</v>
      </c>
    </row>
    <row r="4" spans="1:2" x14ac:dyDescent="0.3">
      <c r="A4" s="3" t="s">
        <v>8</v>
      </c>
      <c r="B4">
        <v>56</v>
      </c>
    </row>
    <row r="5" spans="1:2" x14ac:dyDescent="0.3">
      <c r="A5" s="3" t="s">
        <v>15</v>
      </c>
      <c r="B5">
        <v>48</v>
      </c>
    </row>
    <row r="6" spans="1:2" x14ac:dyDescent="0.3">
      <c r="A6" s="3" t="s">
        <v>11</v>
      </c>
      <c r="B6">
        <v>52</v>
      </c>
    </row>
    <row r="7" spans="1:2" x14ac:dyDescent="0.3">
      <c r="A7" s="3" t="s">
        <v>51</v>
      </c>
      <c r="B7">
        <v>156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EFB-5DF2-43D9-91E0-8B1BF07720D1}">
  <dimension ref="A3:B13"/>
  <sheetViews>
    <sheetView workbookViewId="0">
      <selection activeCell="A3" sqref="A3"/>
    </sheetView>
  </sheetViews>
  <sheetFormatPr defaultRowHeight="14.4" x14ac:dyDescent="0.3"/>
  <cols>
    <col min="1" max="1" width="20.33203125" bestFit="1" customWidth="1"/>
    <col min="2" max="2" width="19.88671875" bestFit="1" customWidth="1"/>
  </cols>
  <sheetData>
    <row r="3" spans="1:2" x14ac:dyDescent="0.3">
      <c r="A3" s="2" t="s">
        <v>50</v>
      </c>
      <c r="B3" t="s">
        <v>58</v>
      </c>
    </row>
    <row r="4" spans="1:2" x14ac:dyDescent="0.3">
      <c r="A4" s="3" t="s">
        <v>37</v>
      </c>
      <c r="B4">
        <v>1</v>
      </c>
    </row>
    <row r="5" spans="1:2" x14ac:dyDescent="0.3">
      <c r="A5" s="3" t="s">
        <v>13</v>
      </c>
      <c r="B5">
        <v>2</v>
      </c>
    </row>
    <row r="6" spans="1:2" x14ac:dyDescent="0.3">
      <c r="A6" s="3" t="s">
        <v>23</v>
      </c>
      <c r="B6">
        <v>2</v>
      </c>
    </row>
    <row r="7" spans="1:2" x14ac:dyDescent="0.3">
      <c r="A7" s="3" t="s">
        <v>34</v>
      </c>
      <c r="B7">
        <v>1</v>
      </c>
    </row>
    <row r="8" spans="1:2" x14ac:dyDescent="0.3">
      <c r="A8" s="3" t="s">
        <v>26</v>
      </c>
      <c r="B8">
        <v>1</v>
      </c>
    </row>
    <row r="9" spans="1:2" x14ac:dyDescent="0.3">
      <c r="A9" s="3" t="s">
        <v>17</v>
      </c>
      <c r="B9">
        <v>2</v>
      </c>
    </row>
    <row r="10" spans="1:2" x14ac:dyDescent="0.3">
      <c r="A10" s="3" t="s">
        <v>20</v>
      </c>
      <c r="B10">
        <v>2</v>
      </c>
    </row>
    <row r="11" spans="1:2" x14ac:dyDescent="0.3">
      <c r="A11" s="3" t="s">
        <v>29</v>
      </c>
      <c r="B11">
        <v>1</v>
      </c>
    </row>
    <row r="12" spans="1:2" x14ac:dyDescent="0.3">
      <c r="A12" s="3" t="s">
        <v>57</v>
      </c>
      <c r="B12">
        <v>13</v>
      </c>
    </row>
    <row r="13" spans="1:2" x14ac:dyDescent="0.3">
      <c r="A13" s="3" t="s">
        <v>51</v>
      </c>
      <c r="B13">
        <v>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D49B-1179-4C87-B3AB-B061EA0DA543}">
  <dimension ref="A1:L26"/>
  <sheetViews>
    <sheetView workbookViewId="0">
      <selection activeCell="D31" sqref="D31"/>
    </sheetView>
  </sheetViews>
  <sheetFormatPr defaultRowHeight="14.4" x14ac:dyDescent="0.3"/>
  <cols>
    <col min="1" max="1" width="16.109375" customWidth="1"/>
    <col min="2" max="2" width="17.6640625" customWidth="1"/>
    <col min="3" max="3" width="14.5546875" customWidth="1"/>
    <col min="4" max="4" width="14.77734375" customWidth="1"/>
    <col min="5" max="5" width="12.44140625" customWidth="1"/>
    <col min="6" max="6" width="13.6640625" customWidth="1"/>
    <col min="7" max="7" width="29.88671875" customWidth="1"/>
    <col min="8" max="8" width="18.6640625" customWidth="1"/>
    <col min="9" max="9" width="14.88671875" customWidth="1"/>
    <col min="10" max="10" width="13" customWidth="1"/>
    <col min="11" max="11" width="21.88671875" bestFit="1" customWidth="1"/>
    <col min="12" max="12" width="18.109375" customWidth="1"/>
    <col min="13" max="13" width="16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  <c r="I1" t="s">
        <v>46</v>
      </c>
      <c r="J1" t="s">
        <v>47</v>
      </c>
      <c r="K1" t="s">
        <v>48</v>
      </c>
      <c r="L1" t="s">
        <v>54</v>
      </c>
    </row>
    <row r="2" spans="1:12" x14ac:dyDescent="0.3">
      <c r="A2" t="s">
        <v>7</v>
      </c>
      <c r="B2" s="1">
        <v>44941</v>
      </c>
      <c r="C2" s="1">
        <v>45659</v>
      </c>
      <c r="D2" t="s">
        <v>8</v>
      </c>
      <c r="E2">
        <v>9.99</v>
      </c>
      <c r="F2" t="s">
        <v>9</v>
      </c>
      <c r="H2">
        <f>DATEDIF(B2,C2,"m")</f>
        <v>23</v>
      </c>
      <c r="I2">
        <f>IF(F2="Churned",1,0)</f>
        <v>0</v>
      </c>
      <c r="J2">
        <f>COUNTA(A2:A26)</f>
        <v>25</v>
      </c>
      <c r="K2">
        <f>COUNTIF(F2:F26,"Churned")</f>
        <v>12</v>
      </c>
      <c r="L2" t="str">
        <f>TEXT(B2,"MMM-YYY")</f>
        <v>Jan-2023</v>
      </c>
    </row>
    <row r="3" spans="1:12" x14ac:dyDescent="0.3">
      <c r="A3" t="s">
        <v>10</v>
      </c>
      <c r="B3" s="1">
        <v>44942</v>
      </c>
      <c r="C3" s="1">
        <v>45519</v>
      </c>
      <c r="D3" t="s">
        <v>11</v>
      </c>
      <c r="E3">
        <v>14.99</v>
      </c>
      <c r="F3" t="s">
        <v>12</v>
      </c>
      <c r="G3" t="s">
        <v>13</v>
      </c>
      <c r="H3">
        <f t="shared" ref="H3:H25" si="0">DATEDIF(B3,C3,"m")</f>
        <v>18</v>
      </c>
      <c r="I3">
        <f t="shared" ref="I3:I25" si="1">IF(F3="Churned",1,0)</f>
        <v>1</v>
      </c>
      <c r="J3">
        <f t="shared" ref="J3:J25" si="2">COUNTA(A3:A27)</f>
        <v>24</v>
      </c>
      <c r="K3">
        <f t="shared" ref="K3:K25" si="3">COUNTIF(F3:F27,"Churned")</f>
        <v>12</v>
      </c>
      <c r="L3" t="str">
        <f t="shared" ref="L3:L25" si="4">TEXT(B3,"MMM-YYY")</f>
        <v>Jan-2023</v>
      </c>
    </row>
    <row r="4" spans="1:12" x14ac:dyDescent="0.3">
      <c r="A4" t="s">
        <v>14</v>
      </c>
      <c r="B4" s="1">
        <v>44943</v>
      </c>
      <c r="C4" s="1">
        <v>45667</v>
      </c>
      <c r="D4" t="s">
        <v>15</v>
      </c>
      <c r="E4">
        <v>24.99</v>
      </c>
      <c r="F4" t="s">
        <v>9</v>
      </c>
      <c r="H4">
        <f t="shared" si="0"/>
        <v>23</v>
      </c>
      <c r="I4">
        <f t="shared" si="1"/>
        <v>0</v>
      </c>
      <c r="J4">
        <f t="shared" si="2"/>
        <v>23</v>
      </c>
      <c r="K4">
        <f t="shared" si="3"/>
        <v>11</v>
      </c>
      <c r="L4" t="str">
        <f t="shared" si="4"/>
        <v>Jan-2023</v>
      </c>
    </row>
    <row r="5" spans="1:12" x14ac:dyDescent="0.3">
      <c r="A5" t="s">
        <v>16</v>
      </c>
      <c r="B5" s="1">
        <v>44944</v>
      </c>
      <c r="C5" s="1">
        <v>45265</v>
      </c>
      <c r="D5" t="s">
        <v>8</v>
      </c>
      <c r="E5">
        <v>9.99</v>
      </c>
      <c r="F5" t="s">
        <v>12</v>
      </c>
      <c r="G5" t="s">
        <v>17</v>
      </c>
      <c r="H5">
        <f t="shared" si="0"/>
        <v>10</v>
      </c>
      <c r="I5">
        <f t="shared" si="1"/>
        <v>1</v>
      </c>
      <c r="J5">
        <f t="shared" si="2"/>
        <v>22</v>
      </c>
      <c r="K5">
        <f t="shared" si="3"/>
        <v>11</v>
      </c>
      <c r="L5" t="str">
        <f t="shared" si="4"/>
        <v>Jan-2023</v>
      </c>
    </row>
    <row r="6" spans="1:12" x14ac:dyDescent="0.3">
      <c r="A6" t="s">
        <v>18</v>
      </c>
      <c r="B6" s="1">
        <v>44945</v>
      </c>
      <c r="C6" s="1">
        <v>45669</v>
      </c>
      <c r="D6" t="s">
        <v>11</v>
      </c>
      <c r="E6">
        <v>14.99</v>
      </c>
      <c r="F6" t="s">
        <v>9</v>
      </c>
      <c r="H6">
        <f t="shared" si="0"/>
        <v>23</v>
      </c>
      <c r="I6">
        <f t="shared" si="1"/>
        <v>0</v>
      </c>
      <c r="J6">
        <f t="shared" si="2"/>
        <v>21</v>
      </c>
      <c r="K6">
        <f t="shared" si="3"/>
        <v>10</v>
      </c>
      <c r="L6" t="str">
        <f t="shared" si="4"/>
        <v>Jan-2023</v>
      </c>
    </row>
    <row r="7" spans="1:12" x14ac:dyDescent="0.3">
      <c r="A7" t="s">
        <v>19</v>
      </c>
      <c r="B7" s="1">
        <v>44946</v>
      </c>
      <c r="C7" s="1">
        <v>45463</v>
      </c>
      <c r="D7" t="s">
        <v>15</v>
      </c>
      <c r="E7">
        <v>24.99</v>
      </c>
      <c r="F7" t="s">
        <v>12</v>
      </c>
      <c r="G7" t="s">
        <v>20</v>
      </c>
      <c r="H7">
        <f t="shared" si="0"/>
        <v>17</v>
      </c>
      <c r="I7">
        <f t="shared" si="1"/>
        <v>1</v>
      </c>
      <c r="J7">
        <f t="shared" si="2"/>
        <v>20</v>
      </c>
      <c r="K7">
        <f t="shared" si="3"/>
        <v>10</v>
      </c>
      <c r="L7" t="str">
        <f t="shared" si="4"/>
        <v>Jan-2023</v>
      </c>
    </row>
    <row r="8" spans="1:12" x14ac:dyDescent="0.3">
      <c r="A8" t="s">
        <v>21</v>
      </c>
      <c r="B8" s="1">
        <v>44947</v>
      </c>
      <c r="C8" s="1">
        <v>45665</v>
      </c>
      <c r="D8" t="s">
        <v>8</v>
      </c>
      <c r="E8">
        <v>9.99</v>
      </c>
      <c r="F8" t="s">
        <v>9</v>
      </c>
      <c r="H8">
        <f t="shared" si="0"/>
        <v>23</v>
      </c>
      <c r="I8">
        <f t="shared" si="1"/>
        <v>0</v>
      </c>
      <c r="J8">
        <f t="shared" si="2"/>
        <v>19</v>
      </c>
      <c r="K8">
        <f t="shared" si="3"/>
        <v>9</v>
      </c>
      <c r="L8" t="str">
        <f t="shared" si="4"/>
        <v>Jan-2023</v>
      </c>
    </row>
    <row r="9" spans="1:12" x14ac:dyDescent="0.3">
      <c r="A9" t="s">
        <v>22</v>
      </c>
      <c r="B9" s="1">
        <v>44948</v>
      </c>
      <c r="C9" s="1">
        <v>45309</v>
      </c>
      <c r="D9" t="s">
        <v>11</v>
      </c>
      <c r="E9">
        <v>14.99</v>
      </c>
      <c r="F9" t="s">
        <v>12</v>
      </c>
      <c r="G9" t="s">
        <v>23</v>
      </c>
      <c r="H9">
        <f t="shared" si="0"/>
        <v>11</v>
      </c>
      <c r="I9">
        <f t="shared" si="1"/>
        <v>1</v>
      </c>
      <c r="J9">
        <f t="shared" si="2"/>
        <v>18</v>
      </c>
      <c r="K9">
        <f t="shared" si="3"/>
        <v>9</v>
      </c>
      <c r="L9" t="str">
        <f t="shared" si="4"/>
        <v>Jan-2023</v>
      </c>
    </row>
    <row r="10" spans="1:12" x14ac:dyDescent="0.3">
      <c r="A10" t="s">
        <v>24</v>
      </c>
      <c r="B10" s="1">
        <v>44949</v>
      </c>
      <c r="C10" s="1">
        <v>45662</v>
      </c>
      <c r="D10" t="s">
        <v>15</v>
      </c>
      <c r="E10">
        <v>24.99</v>
      </c>
      <c r="F10" t="s">
        <v>9</v>
      </c>
      <c r="H10">
        <f t="shared" si="0"/>
        <v>23</v>
      </c>
      <c r="I10">
        <f t="shared" si="1"/>
        <v>0</v>
      </c>
      <c r="J10">
        <f t="shared" si="2"/>
        <v>17</v>
      </c>
      <c r="K10">
        <f t="shared" si="3"/>
        <v>8</v>
      </c>
      <c r="L10" t="str">
        <f t="shared" si="4"/>
        <v>Jan-2023</v>
      </c>
    </row>
    <row r="11" spans="1:12" x14ac:dyDescent="0.3">
      <c r="A11" t="s">
        <v>25</v>
      </c>
      <c r="B11" s="1">
        <v>44950</v>
      </c>
      <c r="C11" s="1">
        <v>45536</v>
      </c>
      <c r="D11" t="s">
        <v>8</v>
      </c>
      <c r="E11">
        <v>9.99</v>
      </c>
      <c r="F11" t="s">
        <v>12</v>
      </c>
      <c r="G11" t="s">
        <v>26</v>
      </c>
      <c r="H11">
        <f t="shared" si="0"/>
        <v>19</v>
      </c>
      <c r="I11">
        <f t="shared" si="1"/>
        <v>1</v>
      </c>
      <c r="J11">
        <f t="shared" si="2"/>
        <v>16</v>
      </c>
      <c r="K11">
        <f t="shared" si="3"/>
        <v>8</v>
      </c>
      <c r="L11" t="str">
        <f t="shared" si="4"/>
        <v>Jan-2023</v>
      </c>
    </row>
    <row r="12" spans="1:12" x14ac:dyDescent="0.3">
      <c r="A12" t="s">
        <v>27</v>
      </c>
      <c r="B12" s="1">
        <v>44951</v>
      </c>
      <c r="C12" s="1">
        <v>45668</v>
      </c>
      <c r="D12" t="s">
        <v>11</v>
      </c>
      <c r="E12">
        <v>14.99</v>
      </c>
      <c r="F12" t="s">
        <v>9</v>
      </c>
      <c r="H12">
        <f t="shared" si="0"/>
        <v>23</v>
      </c>
      <c r="I12">
        <f t="shared" si="1"/>
        <v>0</v>
      </c>
      <c r="J12">
        <f t="shared" si="2"/>
        <v>15</v>
      </c>
      <c r="K12">
        <f t="shared" si="3"/>
        <v>7</v>
      </c>
      <c r="L12" t="str">
        <f t="shared" si="4"/>
        <v>Jan-2023</v>
      </c>
    </row>
    <row r="13" spans="1:12" x14ac:dyDescent="0.3">
      <c r="A13" t="s">
        <v>28</v>
      </c>
      <c r="B13" s="1">
        <v>44952</v>
      </c>
      <c r="C13" s="1">
        <v>45252</v>
      </c>
      <c r="D13" t="s">
        <v>15</v>
      </c>
      <c r="E13">
        <v>24.99</v>
      </c>
      <c r="F13" t="s">
        <v>12</v>
      </c>
      <c r="G13" t="s">
        <v>29</v>
      </c>
      <c r="H13">
        <f t="shared" si="0"/>
        <v>9</v>
      </c>
      <c r="I13">
        <f t="shared" si="1"/>
        <v>1</v>
      </c>
      <c r="J13">
        <f t="shared" si="2"/>
        <v>14</v>
      </c>
      <c r="K13">
        <f t="shared" si="3"/>
        <v>7</v>
      </c>
      <c r="L13" t="str">
        <f t="shared" si="4"/>
        <v>Jan-2023</v>
      </c>
    </row>
    <row r="14" spans="1:12" x14ac:dyDescent="0.3">
      <c r="A14" t="s">
        <v>30</v>
      </c>
      <c r="B14" s="1">
        <v>44953</v>
      </c>
      <c r="C14" s="1">
        <v>45666</v>
      </c>
      <c r="D14" t="s">
        <v>8</v>
      </c>
      <c r="E14">
        <v>9.99</v>
      </c>
      <c r="F14" t="s">
        <v>9</v>
      </c>
      <c r="H14">
        <f t="shared" si="0"/>
        <v>23</v>
      </c>
      <c r="I14">
        <f t="shared" si="1"/>
        <v>0</v>
      </c>
      <c r="J14">
        <f t="shared" si="2"/>
        <v>13</v>
      </c>
      <c r="K14">
        <f t="shared" si="3"/>
        <v>6</v>
      </c>
      <c r="L14" t="str">
        <f t="shared" si="4"/>
        <v>Jan-2023</v>
      </c>
    </row>
    <row r="15" spans="1:12" x14ac:dyDescent="0.3">
      <c r="A15" t="s">
        <v>31</v>
      </c>
      <c r="B15" s="1">
        <v>44954</v>
      </c>
      <c r="C15" s="1">
        <v>45361</v>
      </c>
      <c r="D15" t="s">
        <v>11</v>
      </c>
      <c r="E15">
        <v>14.99</v>
      </c>
      <c r="F15" t="s">
        <v>12</v>
      </c>
      <c r="G15" t="s">
        <v>13</v>
      </c>
      <c r="H15">
        <f t="shared" si="0"/>
        <v>13</v>
      </c>
      <c r="I15">
        <f t="shared" si="1"/>
        <v>1</v>
      </c>
      <c r="J15">
        <f t="shared" si="2"/>
        <v>12</v>
      </c>
      <c r="K15">
        <f t="shared" si="3"/>
        <v>6</v>
      </c>
      <c r="L15" t="str">
        <f t="shared" si="4"/>
        <v>Jan-2023</v>
      </c>
    </row>
    <row r="16" spans="1:12" x14ac:dyDescent="0.3">
      <c r="A16" t="s">
        <v>32</v>
      </c>
      <c r="B16" s="1">
        <v>44955</v>
      </c>
      <c r="C16" s="1">
        <v>45671</v>
      </c>
      <c r="D16" t="s">
        <v>15</v>
      </c>
      <c r="E16">
        <v>24.99</v>
      </c>
      <c r="F16" t="s">
        <v>9</v>
      </c>
      <c r="H16">
        <f t="shared" si="0"/>
        <v>23</v>
      </c>
      <c r="I16">
        <f t="shared" si="1"/>
        <v>0</v>
      </c>
      <c r="J16">
        <f t="shared" si="2"/>
        <v>11</v>
      </c>
      <c r="K16">
        <f t="shared" si="3"/>
        <v>5</v>
      </c>
      <c r="L16" t="str">
        <f t="shared" si="4"/>
        <v>Jan-2023</v>
      </c>
    </row>
    <row r="17" spans="1:12" x14ac:dyDescent="0.3">
      <c r="A17" t="s">
        <v>33</v>
      </c>
      <c r="B17" s="1">
        <v>44956</v>
      </c>
      <c r="C17" s="1">
        <v>45492</v>
      </c>
      <c r="D17" t="s">
        <v>8</v>
      </c>
      <c r="E17">
        <v>9.99</v>
      </c>
      <c r="F17" t="s">
        <v>12</v>
      </c>
      <c r="G17" t="s">
        <v>34</v>
      </c>
      <c r="H17">
        <f t="shared" si="0"/>
        <v>17</v>
      </c>
      <c r="I17">
        <f t="shared" si="1"/>
        <v>1</v>
      </c>
      <c r="J17">
        <f t="shared" si="2"/>
        <v>10</v>
      </c>
      <c r="K17">
        <f t="shared" si="3"/>
        <v>5</v>
      </c>
      <c r="L17" t="str">
        <f t="shared" si="4"/>
        <v>Jan-2023</v>
      </c>
    </row>
    <row r="18" spans="1:12" x14ac:dyDescent="0.3">
      <c r="A18" t="s">
        <v>35</v>
      </c>
      <c r="B18" s="1">
        <v>44957</v>
      </c>
      <c r="C18" s="1">
        <v>45663</v>
      </c>
      <c r="D18" t="s">
        <v>11</v>
      </c>
      <c r="E18">
        <v>14.99</v>
      </c>
      <c r="F18" t="s">
        <v>9</v>
      </c>
      <c r="H18">
        <f t="shared" si="0"/>
        <v>23</v>
      </c>
      <c r="I18">
        <f t="shared" si="1"/>
        <v>0</v>
      </c>
      <c r="J18">
        <f t="shared" si="2"/>
        <v>9</v>
      </c>
      <c r="K18">
        <f t="shared" si="3"/>
        <v>4</v>
      </c>
      <c r="L18" t="str">
        <f t="shared" si="4"/>
        <v>Jan-2023</v>
      </c>
    </row>
    <row r="19" spans="1:12" x14ac:dyDescent="0.3">
      <c r="A19" t="s">
        <v>36</v>
      </c>
      <c r="B19" s="1">
        <v>44958</v>
      </c>
      <c r="C19" s="1">
        <v>45570</v>
      </c>
      <c r="D19" t="s">
        <v>15</v>
      </c>
      <c r="E19">
        <v>24.99</v>
      </c>
      <c r="F19" t="s">
        <v>12</v>
      </c>
      <c r="G19" t="s">
        <v>37</v>
      </c>
      <c r="H19">
        <f t="shared" si="0"/>
        <v>20</v>
      </c>
      <c r="I19">
        <f t="shared" si="1"/>
        <v>1</v>
      </c>
      <c r="J19">
        <f t="shared" si="2"/>
        <v>8</v>
      </c>
      <c r="K19">
        <f t="shared" si="3"/>
        <v>4</v>
      </c>
      <c r="L19" t="str">
        <f t="shared" si="4"/>
        <v>Feb-2023</v>
      </c>
    </row>
    <row r="20" spans="1:12" x14ac:dyDescent="0.3">
      <c r="A20" t="s">
        <v>38</v>
      </c>
      <c r="B20" s="1">
        <v>44959</v>
      </c>
      <c r="C20" s="1">
        <v>45670</v>
      </c>
      <c r="D20" t="s">
        <v>8</v>
      </c>
      <c r="E20">
        <v>9.99</v>
      </c>
      <c r="F20" t="s">
        <v>9</v>
      </c>
      <c r="H20">
        <f t="shared" si="0"/>
        <v>23</v>
      </c>
      <c r="I20">
        <f t="shared" si="1"/>
        <v>0</v>
      </c>
      <c r="J20">
        <f t="shared" si="2"/>
        <v>7</v>
      </c>
      <c r="K20">
        <f t="shared" si="3"/>
        <v>3</v>
      </c>
      <c r="L20" t="str">
        <f t="shared" si="4"/>
        <v>Feb-2023</v>
      </c>
    </row>
    <row r="21" spans="1:12" x14ac:dyDescent="0.3">
      <c r="A21" t="s">
        <v>39</v>
      </c>
      <c r="B21" s="1">
        <v>44960</v>
      </c>
      <c r="C21" s="1">
        <v>45168</v>
      </c>
      <c r="D21" t="s">
        <v>11</v>
      </c>
      <c r="E21">
        <v>14.99</v>
      </c>
      <c r="F21" t="s">
        <v>12</v>
      </c>
      <c r="G21" t="s">
        <v>17</v>
      </c>
      <c r="H21">
        <f t="shared" si="0"/>
        <v>6</v>
      </c>
      <c r="I21">
        <f t="shared" si="1"/>
        <v>1</v>
      </c>
      <c r="J21">
        <f t="shared" si="2"/>
        <v>6</v>
      </c>
      <c r="K21">
        <f t="shared" si="3"/>
        <v>3</v>
      </c>
      <c r="L21" t="str">
        <f t="shared" si="4"/>
        <v>Feb-2023</v>
      </c>
    </row>
    <row r="22" spans="1:12" x14ac:dyDescent="0.3">
      <c r="A22" t="s">
        <v>40</v>
      </c>
      <c r="B22" s="1">
        <v>44961</v>
      </c>
      <c r="C22" s="1">
        <v>45661</v>
      </c>
      <c r="D22" t="s">
        <v>15</v>
      </c>
      <c r="E22">
        <v>24.99</v>
      </c>
      <c r="F22" t="s">
        <v>9</v>
      </c>
      <c r="H22">
        <f t="shared" si="0"/>
        <v>23</v>
      </c>
      <c r="I22">
        <f t="shared" si="1"/>
        <v>0</v>
      </c>
      <c r="J22">
        <f t="shared" si="2"/>
        <v>5</v>
      </c>
      <c r="K22">
        <f t="shared" si="3"/>
        <v>2</v>
      </c>
      <c r="L22" t="str">
        <f t="shared" si="4"/>
        <v>Feb-2023</v>
      </c>
    </row>
    <row r="23" spans="1:12" x14ac:dyDescent="0.3">
      <c r="A23" t="s">
        <v>41</v>
      </c>
      <c r="B23" s="1">
        <v>44962</v>
      </c>
      <c r="C23" s="1">
        <v>45424</v>
      </c>
      <c r="D23" t="s">
        <v>8</v>
      </c>
      <c r="E23">
        <v>9.99</v>
      </c>
      <c r="F23" t="s">
        <v>12</v>
      </c>
      <c r="G23" t="s">
        <v>20</v>
      </c>
      <c r="H23">
        <f t="shared" si="0"/>
        <v>15</v>
      </c>
      <c r="I23">
        <f t="shared" si="1"/>
        <v>1</v>
      </c>
      <c r="J23">
        <f t="shared" si="2"/>
        <v>4</v>
      </c>
      <c r="K23">
        <f t="shared" si="3"/>
        <v>2</v>
      </c>
      <c r="L23" t="str">
        <f t="shared" si="4"/>
        <v>Feb-2023</v>
      </c>
    </row>
    <row r="24" spans="1:12" x14ac:dyDescent="0.3">
      <c r="A24" t="s">
        <v>42</v>
      </c>
      <c r="B24" s="1">
        <v>44963</v>
      </c>
      <c r="C24" s="1">
        <v>45672</v>
      </c>
      <c r="D24" t="s">
        <v>11</v>
      </c>
      <c r="E24">
        <v>14.99</v>
      </c>
      <c r="F24" t="s">
        <v>9</v>
      </c>
      <c r="H24">
        <f t="shared" si="0"/>
        <v>23</v>
      </c>
      <c r="I24">
        <f t="shared" si="1"/>
        <v>0</v>
      </c>
      <c r="J24">
        <f t="shared" si="2"/>
        <v>3</v>
      </c>
      <c r="K24">
        <f t="shared" si="3"/>
        <v>1</v>
      </c>
      <c r="L24" t="str">
        <f t="shared" si="4"/>
        <v>Feb-2023</v>
      </c>
    </row>
    <row r="25" spans="1:12" x14ac:dyDescent="0.3">
      <c r="A25" t="s">
        <v>43</v>
      </c>
      <c r="B25" s="1">
        <v>44964</v>
      </c>
      <c r="C25" s="1">
        <v>45278</v>
      </c>
      <c r="D25" t="s">
        <v>15</v>
      </c>
      <c r="E25">
        <v>24.99</v>
      </c>
      <c r="F25" t="s">
        <v>12</v>
      </c>
      <c r="G25" t="s">
        <v>23</v>
      </c>
      <c r="H25">
        <f t="shared" si="0"/>
        <v>10</v>
      </c>
      <c r="I25">
        <f t="shared" si="1"/>
        <v>1</v>
      </c>
      <c r="J25">
        <f t="shared" si="2"/>
        <v>2</v>
      </c>
      <c r="K25">
        <f t="shared" si="3"/>
        <v>1</v>
      </c>
      <c r="L25" t="str">
        <f t="shared" si="4"/>
        <v>Feb-2023</v>
      </c>
    </row>
    <row r="26" spans="1:12" x14ac:dyDescent="0.3">
      <c r="A26" t="s">
        <v>44</v>
      </c>
      <c r="B26" s="1">
        <v>44965</v>
      </c>
      <c r="C26" s="1">
        <v>45664</v>
      </c>
      <c r="D26" t="s">
        <v>8</v>
      </c>
      <c r="E26">
        <v>9.99</v>
      </c>
      <c r="F2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BD40-DC94-4A0E-9D09-395AFF42CF9A}">
  <dimension ref="A1:A11"/>
  <sheetViews>
    <sheetView workbookViewId="0">
      <selection activeCell="A8" sqref="A8"/>
    </sheetView>
  </sheetViews>
  <sheetFormatPr defaultRowHeight="14.4" x14ac:dyDescent="0.3"/>
  <cols>
    <col min="1" max="1" width="64.6640625" customWidth="1"/>
  </cols>
  <sheetData>
    <row r="1" spans="1:1" x14ac:dyDescent="0.3">
      <c r="A1" t="s">
        <v>49</v>
      </c>
    </row>
    <row r="2" spans="1:1" x14ac:dyDescent="0.3">
      <c r="A2" t="s">
        <v>53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7" spans="1:1" ht="17.399999999999999" x14ac:dyDescent="0.45">
      <c r="A7" s="4" t="s">
        <v>64</v>
      </c>
    </row>
    <row r="8" spans="1:1" x14ac:dyDescent="0.3">
      <c r="A8" s="5" t="s">
        <v>65</v>
      </c>
    </row>
    <row r="9" spans="1:1" x14ac:dyDescent="0.3">
      <c r="A9" s="5" t="s">
        <v>66</v>
      </c>
    </row>
    <row r="10" spans="1:1" x14ac:dyDescent="0.3">
      <c r="A10" s="5" t="s">
        <v>67</v>
      </c>
    </row>
    <row r="11" spans="1:1" x14ac:dyDescent="0.3">
      <c r="A11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Sheet6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Chavidi Sravanthi</dc:creator>
  <cp:lastModifiedBy>Chavidi Sravanthi</cp:lastModifiedBy>
  <dcterms:created xsi:type="dcterms:W3CDTF">2026-01-17T12:33:19Z</dcterms:created>
  <dcterms:modified xsi:type="dcterms:W3CDTF">2026-01-17T13:30:18Z</dcterms:modified>
</cp:coreProperties>
</file>